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KPI Analysis1" sheetId="2" r:id="rId6"/>
    <sheet state="hidden" name="Calc_Data" sheetId="3" r:id="rId7"/>
  </sheets>
  <definedNames>
    <definedName hidden="1" localSheetId="0" name="_xlnm._FilterDatabase">'Raw Data'!$A$1:$R$1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<sst xmlns="http://schemas.openxmlformats.org/spreadsheetml/2006/main" count="159" uniqueCount="94">
  <si>
    <t>Timestamp</t>
  </si>
  <si>
    <t>Customer Type</t>
  </si>
  <si>
    <t>Customer Name</t>
  </si>
  <si>
    <t>Phone Number</t>
  </si>
  <si>
    <t>Email</t>
  </si>
  <si>
    <t>Delivery Address</t>
  </si>
  <si>
    <t>Preferred Delivery Time</t>
  </si>
  <si>
    <t>Lunch Items</t>
  </si>
  <si>
    <t>Quantity</t>
  </si>
  <si>
    <t xml:space="preserve">Drinks </t>
  </si>
  <si>
    <t>Drink Size</t>
  </si>
  <si>
    <t>Special Instructions</t>
  </si>
  <si>
    <t>Referral Source</t>
  </si>
  <si>
    <t>Comments</t>
  </si>
  <si>
    <t>Order Delivered to customer</t>
  </si>
  <si>
    <t>2026-07-07T23:21:31.672Z</t>
  </si>
  <si>
    <t>I am a new customer</t>
  </si>
  <si>
    <t>Musa Fofanah</t>
  </si>
  <si>
    <t>balamusafofanah04@gmail.com</t>
  </si>
  <si>
    <t>6721 Shell Lane Houston TX United States</t>
  </si>
  <si>
    <t>Within 1 Hour</t>
  </si>
  <si>
    <t>Grilled Fish</t>
  </si>
  <si>
    <t>Iced Tea</t>
  </si>
  <si>
    <t>Small</t>
  </si>
  <si>
    <t>None</t>
  </si>
  <si>
    <t>Social Media</t>
  </si>
  <si>
    <t>none</t>
  </si>
  <si>
    <t>Yes</t>
  </si>
  <si>
    <t>2026-07-07T23:23:45.334Z</t>
  </si>
  <si>
    <t>I am an existing customer</t>
  </si>
  <si>
    <t>Lucretia Anslow</t>
  </si>
  <si>
    <t>anslowlucretia40@gmail.com</t>
  </si>
  <si>
    <t>3421 Signal Lane Houston Texas United States</t>
  </si>
  <si>
    <t>Within 45 Minutes</t>
  </si>
  <si>
    <t>Lemonade</t>
  </si>
  <si>
    <t>Large</t>
  </si>
  <si>
    <t>Garlic</t>
  </si>
  <si>
    <t>Returning Customer</t>
  </si>
  <si>
    <t>make it spicy please</t>
  </si>
  <si>
    <t>2026-07-08T00:42:32.405Z</t>
  </si>
  <si>
    <t>Sylvia Smith</t>
  </si>
  <si>
    <t>281 6739901</t>
  </si>
  <si>
    <t>lanslows@hc.edu</t>
  </si>
  <si>
    <t>289 Hill Valley Cypress United States</t>
  </si>
  <si>
    <t>As Soon As Possible (ASAP)</t>
  </si>
  <si>
    <t>Rice Dish</t>
  </si>
  <si>
    <t>2026-07-08T00:48:36.018Z</t>
  </si>
  <si>
    <t>Bala Musa</t>
  </si>
  <si>
    <t>267 Smart Drive Katy United States</t>
  </si>
  <si>
    <t>Within 30 Minutes</t>
  </si>
  <si>
    <t>Pasta</t>
  </si>
  <si>
    <t>Fresh Juice</t>
  </si>
  <si>
    <t>2026-07-08T02:17:27.784Z</t>
  </si>
  <si>
    <t>Debby Patricia</t>
  </si>
  <si>
    <t>282 578 3321</t>
  </si>
  <si>
    <t>debxcreate@gmail.com</t>
  </si>
  <si>
    <t>567 Southwest Houston Texas</t>
  </si>
  <si>
    <t>Wrap</t>
  </si>
  <si>
    <t>Coffee</t>
  </si>
  <si>
    <t>Medium</t>
  </si>
  <si>
    <t>Friend / Family Referral</t>
  </si>
  <si>
    <t>Not Spicy please</t>
  </si>
  <si>
    <t>2026-07-08T02:19:16.203Z</t>
  </si>
  <si>
    <t>Debby Pat</t>
  </si>
  <si>
    <t>201 southwest houston United states</t>
  </si>
  <si>
    <t>Burrito</t>
  </si>
  <si>
    <t>The Quiet Bite By Debby Restaurant Order &amp; KPI Dashboard</t>
  </si>
  <si>
    <t>Total Orders</t>
  </si>
  <si>
    <t>New Customers</t>
  </si>
  <si>
    <t>Returning Customers</t>
  </si>
  <si>
    <t>Total Quantity Sold</t>
  </si>
  <si>
    <t>Delivery Rate</t>
  </si>
  <si>
    <t>Average Units per Order</t>
  </si>
  <si>
    <t>Requested Delivery Speed</t>
  </si>
  <si>
    <t>Top Menu Items</t>
  </si>
  <si>
    <t xml:space="preserve"> Quantity of Orders</t>
  </si>
  <si>
    <t>% of Total Quantity Order</t>
  </si>
  <si>
    <t>Order Quantity</t>
  </si>
  <si>
    <t>Order Sold</t>
  </si>
  <si>
    <t>Grand Total</t>
  </si>
  <si>
    <t>Order Referral Sources</t>
  </si>
  <si>
    <t>Orders</t>
  </si>
  <si>
    <t>% of Quantity</t>
  </si>
  <si>
    <t>Automation Impact</t>
  </si>
  <si>
    <t>Manual KPI calc time (before)</t>
  </si>
  <si>
    <t>~3 hours/day</t>
  </si>
  <si>
    <t>Automated KPI calc time (after)</t>
  </si>
  <si>
    <t>&lt; 5 minutes</t>
  </si>
  <si>
    <t>Kitchen notification lag</t>
  </si>
  <si>
    <t>Instant (Slack, on submission)</t>
  </si>
  <si>
    <t>Customer confirmation</t>
  </si>
  <si>
    <t>Instant (auto-email via Gmail)</t>
  </si>
  <si>
    <t>Total Quantity</t>
  </si>
  <si>
    <t>Total Items 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</si>
</sst>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rgb="FFEFEFEF"/>
      <name val="Arial"/>
      <scheme val="minor"/>
    </font>
    <font>
      <sz val="14.0"/>
      <color rgb="FFD9D9D9"/>
      <name val="Arial"/>
      <scheme val="minor"/>
    </font>
    <font>
      <sz val="14.0"/>
      <color rgb="FFEFEFEF"/>
      <name val="Arial"/>
      <scheme val="minor"/>
    </font>
    <font>
      <sz val="14.0"/>
      <color rgb="FFF3F3F3"/>
      <name val="Arial"/>
      <scheme val="minor"/>
    </font>
    <font>
      <sz val="14.0"/>
      <color theme="1"/>
      <name val="Arial"/>
      <scheme val="minor"/>
    </font>
    <font>
      <b/>
      <sz val="14.0"/>
      <color rgb="FFF3F3F3"/>
      <name val="Arial"/>
      <scheme val="minor"/>
    </font>
    <font>
      <color rgb="FF555555"/>
      <name val="Arial"/>
    </font>
    <font>
      <b/>
      <sz val="14.0"/>
      <color theme="1"/>
      <name val="Arial"/>
      <scheme val="minor"/>
    </font>
    <font>
      <color rgb="FFF3F3F3"/>
      <name val="Arial"/>
      <scheme val="minor"/>
    </font>
    <font>
      <b/>
      <sz val="12.0"/>
      <color rgb="FFFFFFFF"/>
      <name val="Arial"/>
    </font>
    <font>
      <color theme="1"/>
      <name val="Arial"/>
    </font>
    <font>
      <b/>
      <color rgb="FF1F2A4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horizontal="center" readingOrder="0"/>
    </xf>
    <xf borderId="0" fillId="2" fontId="4" numFmtId="0" xfId="0" applyFon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7" numFmtId="0" xfId="0" applyAlignment="1" applyFont="1">
      <alignment horizontal="center"/>
    </xf>
    <xf borderId="0" fillId="0" fontId="7" numFmtId="9" xfId="0" applyAlignment="1" applyFont="1" applyNumberFormat="1">
      <alignment horizontal="center"/>
    </xf>
    <xf borderId="0" fillId="2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7" numFmtId="164" xfId="0" applyFont="1" applyNumberFormat="1"/>
    <xf borderId="0" fillId="0" fontId="10" numFmtId="0" xfId="0" applyAlignment="1" applyFont="1">
      <alignment horizontal="center" readingOrder="0"/>
    </xf>
    <xf borderId="0" fillId="2" fontId="11" numFmtId="0" xfId="0" applyFont="1"/>
    <xf borderId="0" fillId="3" fontId="2" numFmtId="0" xfId="0" applyFill="1" applyFont="1"/>
    <xf borderId="0" fillId="0" fontId="2" numFmtId="0" xfId="0" applyFont="1"/>
    <xf borderId="0" fillId="0" fontId="2" numFmtId="9" xfId="0" applyFont="1" applyNumberFormat="1"/>
    <xf borderId="0" fillId="2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Top Menu Items-Unit old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'KPI Analysis1'!$G$10:$G$11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'KPI Analysis1'!$E$12:$E$16</c:f>
            </c:strRef>
          </c:cat>
          <c:val>
            <c:numRef>
              <c:f>'KPI Analysis1'!$G$12:$G$16</c:f>
              <c:numCache/>
            </c:numRef>
          </c:val>
        </c:ser>
        <c:axId val="279464510"/>
        <c:axId val="660978915"/>
      </c:barChart>
      <c:catAx>
        <c:axId val="279464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Lunch Items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978915"/>
      </c:catAx>
      <c:valAx>
        <c:axId val="660978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Units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4645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Orders by Referral Source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'KPI Analysis1'!$B$20:$B$21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'KPI Analysis1'!$A$22:$A$24</c:f>
            </c:strRef>
          </c:cat>
          <c:val>
            <c:numRef>
              <c:f>'KPI Analysis1'!$B$22:$B$24</c:f>
              <c:numCache/>
            </c:numRef>
          </c:val>
        </c:ser>
        <c:axId val="1587952493"/>
        <c:axId val="1924049815"/>
      </c:barChart>
      <c:catAx>
        <c:axId val="15879524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Referral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049815"/>
      </c:catAx>
      <c:valAx>
        <c:axId val="19240498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879524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942975</xdr:colOff>
      <xdr:row>33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762000</xdr:colOff>
      <xdr:row>54</xdr:row>
      <xdr:rowOff>180975</xdr:rowOff>
    </xdr:from>
    <xdr:ext cx="5715000" cy="3533775"/>
    <xdr:pic>
      <xdr:nvPicPr>
        <xdr:cNvPr id="204184628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7" sheet="Raw Data"/>
  </cacheSource>
  <cacheFields>
    <cacheField name="Timestamp" numFmtId="0">
      <sharedItems>
        <s v="2026-07-07T23:21:31.672Z"/>
        <s v="2026-07-07T23:23:45.334Z"/>
        <s v="2026-07-08T00:42:32.405Z"/>
        <s v="2026-07-08T00:48:36.018Z"/>
        <s v="2026-07-08T02:17:27.784Z"/>
        <s v="2026-07-08T02:19:16.203Z"/>
      </sharedItems>
    </cacheField>
    <cacheField name="Customer Type" numFmtId="0">
      <sharedItems>
        <s v="I am a new customer"/>
        <s v="I am an existing customer"/>
      </sharedItems>
    </cacheField>
    <cacheField name="Customer Name" numFmtId="0">
      <sharedItems>
        <s v="Musa Fofanah"/>
        <s v="Lucretia Anslow"/>
        <s v="Sylvia Smith"/>
        <s v="Bala Musa"/>
        <s v="Debby Patricia"/>
        <s v="Debby Pat"/>
      </sharedItems>
    </cacheField>
    <cacheField name="Phone Number">
      <sharedItems containsMixedTypes="1" containsNumber="1" containsInteger="1">
        <n v="2.815737781E9"/>
        <s v="281 6739901"/>
        <n v="2.3276880981E10"/>
        <s v="282 578 3321"/>
        <n v="2.815743389E9"/>
      </sharedItems>
    </cacheField>
    <cacheField name="Email" numFmtId="0">
      <sharedItems>
        <s v="balamusafofanah04@gmail.com"/>
        <s v="anslowlucretia40@gmail.com"/>
        <s v="lanslows@hc.edu"/>
        <s v="debxcreate@gmail.com"/>
      </sharedItems>
    </cacheField>
    <cacheField name="Delivery Address" numFmtId="0">
      <sharedItems>
        <s v="6721 Shell Lane Houston TX United States"/>
        <s v="3421 Signal Lane Houston Texas United States"/>
        <s v="289 Hill Valley Cypress United States"/>
        <s v="267 Smart Drive Katy United States"/>
        <s v="567 Southwest Houston Texas"/>
        <s v="201 southwest houston United states"/>
      </sharedItems>
    </cacheField>
    <cacheField name="Preferred Delivery Time" numFmtId="0">
      <sharedItems>
        <s v="Within 1 Hour"/>
        <s v="Within 45 Minutes"/>
        <s v="As Soon As Possible (ASAP)"/>
        <s v="Within 30 Minutes"/>
      </sharedItems>
    </cacheField>
    <cacheField name="Lunch Items" numFmtId="0">
      <sharedItems>
        <s v="Grilled Fish"/>
        <s v="Rice Dish"/>
        <s v="Pasta"/>
        <s v="Wrap"/>
        <s v="Burrito"/>
      </sharedItems>
    </cacheField>
    <cacheField name="Quantity" numFmtId="0">
      <sharedItems containsSemiMixedTypes="0" containsString="0" containsNumber="1" containsInteger="1">
        <n v="2.0"/>
        <n v="5.0"/>
        <n v="1.0"/>
        <n v="30.0"/>
        <n v="10.0"/>
      </sharedItems>
    </cacheField>
    <cacheField name="Drinks " numFmtId="0">
      <sharedItems>
        <s v="Iced Tea"/>
        <s v="Lemonade"/>
        <s v="Fresh Juice"/>
        <s v="Coffee"/>
      </sharedItems>
    </cacheField>
    <cacheField name="Drink Size" numFmtId="0">
      <sharedItems>
        <s v="Small"/>
        <s v="Large"/>
        <s v="Medium"/>
      </sharedItems>
    </cacheField>
    <cacheField name="Special Instructions" numFmtId="0">
      <sharedItems>
        <s v="None"/>
        <s v="Garlic"/>
      </sharedItems>
    </cacheField>
    <cacheField name="Referral Source" numFmtId="0">
      <sharedItems>
        <s v="Social Media"/>
        <s v="Returning Customer"/>
        <s v="Friend / Family Referral"/>
      </sharedItems>
    </cacheField>
    <cacheField name="Comments" numFmtId="0">
      <sharedItems>
        <s v="none"/>
        <s v="make it spicy please"/>
        <s v="Not Spicy please"/>
      </sharedItems>
    </cacheField>
    <cacheField name="Order Delivered to customer" numFmtId="0">
      <sharedItems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0" sheet="Raw Data"/>
  </cacheSource>
  <cacheFields>
    <cacheField name="Timestamp" numFmtId="0">
      <sharedItems containsBlank="1">
        <s v="2026-07-07T23:21:31.672Z"/>
        <s v="2026-07-07T23:23:45.334Z"/>
        <s v="2026-07-08T00:42:32.405Z"/>
        <s v="2026-07-08T00:48:36.018Z"/>
        <s v="2026-07-08T02:17:27.784Z"/>
        <s v="2026-07-08T02:19:16.203Z"/>
        <m/>
      </sharedItems>
    </cacheField>
    <cacheField name="Customer Type" numFmtId="0">
      <sharedItems containsBlank="1">
        <s v="I am a new customer"/>
        <s v="I am an existing customer"/>
        <m/>
      </sharedItems>
    </cacheField>
    <cacheField name="Customer Name" numFmtId="0">
      <sharedItems containsBlank="1">
        <s v="Musa Fofanah"/>
        <s v="Lucretia Anslow"/>
        <s v="Sylvia Smith"/>
        <s v="Bala Musa"/>
        <s v="Debby Patricia"/>
        <s v="Debby Pat"/>
        <m/>
      </sharedItems>
    </cacheField>
    <cacheField name="Phone Number">
      <sharedItems containsBlank="1" containsMixedTypes="1" containsNumber="1" containsInteger="1">
        <n v="2.815737781E9"/>
        <s v="281 6739901"/>
        <n v="2.3276880981E10"/>
        <s v="282 578 3321"/>
        <n v="2.815743389E9"/>
        <m/>
      </sharedItems>
    </cacheField>
    <cacheField name="Email" numFmtId="0">
      <sharedItems containsBlank="1">
        <s v="balamusafofanah04@gmail.com"/>
        <s v="anslowlucretia40@gmail.com"/>
        <s v="lanslows@hc.edu"/>
        <s v="debxcreate@gmail.com"/>
        <m/>
      </sharedItems>
    </cacheField>
    <cacheField name="Delivery Address" numFmtId="0">
      <sharedItems containsBlank="1">
        <s v="6721 Shell Lane Houston TX United States"/>
        <s v="3421 Signal Lane Houston Texas United States"/>
        <s v="289 Hill Valley Cypress United States"/>
        <s v="267 Smart Drive Katy United States"/>
        <s v="567 Southwest Houston Texas"/>
        <s v="201 southwest houston United states"/>
        <m/>
      </sharedItems>
    </cacheField>
    <cacheField name="Preferred Delivery Time" numFmtId="0">
      <sharedItems containsBlank="1">
        <s v="Within 1 Hour"/>
        <s v="Within 45 Minutes"/>
        <s v="As Soon As Possible (ASAP)"/>
        <s v="Within 30 Minutes"/>
        <m/>
      </sharedItems>
    </cacheField>
    <cacheField name="Lunch Items" numFmtId="0">
      <sharedItems containsBlank="1">
        <s v="Grilled Fish"/>
        <s v="Rice Dish"/>
        <s v="Pasta"/>
        <s v="Wrap"/>
        <s v="Burrito"/>
        <m/>
      </sharedItems>
    </cacheField>
    <cacheField name="Quantity" numFmtId="0">
      <sharedItems containsString="0" containsBlank="1" containsNumber="1" containsInteger="1">
        <n v="2.0"/>
        <n v="5.0"/>
        <n v="1.0"/>
        <n v="30.0"/>
        <n v="10.0"/>
        <m/>
      </sharedItems>
    </cacheField>
    <cacheField name="Drinks " numFmtId="0">
      <sharedItems containsBlank="1">
        <s v="Iced Tea"/>
        <s v="Lemonade"/>
        <s v="Fresh Juice"/>
        <s v="Coffee"/>
        <m/>
      </sharedItems>
    </cacheField>
    <cacheField name="Drink Size" numFmtId="0">
      <sharedItems containsBlank="1">
        <s v="Small"/>
        <s v="Large"/>
        <s v="Medium"/>
        <m/>
      </sharedItems>
    </cacheField>
    <cacheField name="Special Instructions" numFmtId="0">
      <sharedItems containsBlank="1">
        <s v="None"/>
        <s v="Garlic"/>
        <m/>
      </sharedItems>
    </cacheField>
    <cacheField name="Referral Source" numFmtId="0">
      <sharedItems containsBlank="1">
        <s v="Social Media"/>
        <s v="Returning Customer"/>
        <s v="Friend / Family Referral"/>
        <m/>
      </sharedItems>
    </cacheField>
    <cacheField name="Comments" numFmtId="0">
      <sharedItems containsBlank="1">
        <s v="none"/>
        <s v="make it spicy please"/>
        <s v="Not Spicy please"/>
        <m/>
      </sharedItems>
    </cacheField>
    <cacheField name="Order Delivered to customer" numFmtId="0">
      <sharedItems containsBlank="1">
        <s v="Yes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KPI Analysis1 2" cacheId="0" dataCaption="" compact="0" compactData="0">
  <location ref="G3:G4" firstHeaderRow="0" firstDataRow="0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t="default"/>
      </items>
    </pivotField>
    <pivotField name="Delivery Addres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ferred Delivery Time" compact="0" outline="0" multipleItemSelectionAllowed="1" showAll="0">
      <items>
        <item x="0"/>
        <item x="1"/>
        <item x="2"/>
        <item x="3"/>
        <item t="default"/>
      </items>
    </pivotField>
    <pivotField name="Lunch Item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inks " compact="0" outline="0" multipleItemSelectionAllowed="1" showAll="0">
      <items>
        <item x="0"/>
        <item x="1"/>
        <item x="2"/>
        <item x="3"/>
        <item t="default"/>
      </items>
    </pivotField>
    <pivotField name="Drink Size" compact="0" outline="0" multipleItemSelectionAllowed="1" showAll="0">
      <items>
        <item x="0"/>
        <item x="1"/>
        <item x="2"/>
        <item t="default"/>
      </items>
    </pivotField>
    <pivotField name="Special Instructions" compact="0" outline="0" multipleItemSelectionAllowed="1" showAll="0">
      <items>
        <item x="0"/>
        <item x="1"/>
        <item t="default"/>
      </items>
    </pivotField>
    <pivotField name="Referral Source" compact="0" outline="0" multipleItemSelectionAllowed="1" showAll="0">
      <items>
        <item x="0"/>
        <item x="1"/>
        <item x="2"/>
        <item t="default"/>
      </items>
    </pivotField>
    <pivotField name="Comments" compact="0" outline="0" multipleItemSelectionAllowed="1" showAll="0">
      <items>
        <item x="0"/>
        <item x="1"/>
        <item x="2"/>
        <item t="default"/>
      </items>
    </pivotField>
    <pivotField name="Order Delivered to customer" compact="0" outline="0" multipleItemSelectionAllowed="1" showAll="0">
      <items>
        <item x="0"/>
        <item t="default"/>
      </items>
    </pivotField>
  </pivotFields>
  <dataFields>
    <dataField name="Total Quantity Sold" fld="8" baseField="0"/>
  </dataFields>
</pivotTableDefinition>
</file>

<file path=xl/pivotTables/pivotTable2.xml><?xml version="1.0" encoding="utf-8"?>
<pivotTableDefinition xmlns="http://schemas.openxmlformats.org/spreadsheetml/2006/main" name="KPI Analysis1 3" cacheId="0" dataCaption="" compact="0" compactData="0">
  <location ref="A11:C16" firstHeaderRow="0" firstDataRow="2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t="default"/>
      </items>
    </pivotField>
    <pivotField name="Delivery Addres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ferred Delivery Time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Lunch Item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inks " compact="0" outline="0" multipleItemSelectionAllowed="1" showAll="0">
      <items>
        <item x="0"/>
        <item x="1"/>
        <item x="2"/>
        <item x="3"/>
        <item t="default"/>
      </items>
    </pivotField>
    <pivotField name="Drink Size" compact="0" outline="0" multipleItemSelectionAllowed="1" showAll="0">
      <items>
        <item x="0"/>
        <item x="1"/>
        <item x="2"/>
        <item t="default"/>
      </items>
    </pivotField>
    <pivotField name="Special Instructions" compact="0" outline="0" multipleItemSelectionAllowed="1" showAll="0">
      <items>
        <item x="0"/>
        <item x="1"/>
        <item t="default"/>
      </items>
    </pivotField>
    <pivotField name="Referral Source" compact="0" outline="0" multipleItemSelectionAllowed="1" showAll="0">
      <items>
        <item x="0"/>
        <item x="1"/>
        <item x="2"/>
        <item t="default"/>
      </items>
    </pivotField>
    <pivotField name="Comments" compact="0" outline="0" multipleItemSelectionAllowed="1" showAll="0">
      <items>
        <item x="0"/>
        <item x="1"/>
        <item x="2"/>
        <item t="default"/>
      </items>
    </pivotField>
    <pivotField name="Order Delivered to customer" compact="0" outline="0" multipleItemSelectionAllowed="1" showAll="0">
      <items>
        <item x="0"/>
        <item t="default"/>
      </items>
    </pivotField>
  </pivotFields>
  <rowFields>
    <field x="6"/>
  </rowFields>
  <colFields>
    <field x="-2"/>
  </colFields>
  <dataFields>
    <dataField name=" Quantity of Orders" fld="8" subtotal="countNums" baseField="0"/>
    <dataField name="% of Total Quantity Order" fld="8" subtotal="countNums" showDataAs="percentOfTotal" baseField="0" numFmtId="10"/>
  </dataFields>
</pivotTableDefinition>
</file>

<file path=xl/pivotTables/pivotTable3.xml><?xml version="1.0" encoding="utf-8"?>
<pivotTableDefinition xmlns="http://schemas.openxmlformats.org/spreadsheetml/2006/main" name="KPI Analysis1 4" cacheId="0" dataCaption="" compact="0" compactData="0">
  <location ref="E11:G17" firstHeaderRow="0" firstDataRow="2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t="default"/>
      </items>
    </pivotField>
    <pivotField name="Delivery Addres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ferred Delivery Time" compact="0" outline="0" multipleItemSelectionAllowed="1" showAll="0">
      <items>
        <item x="0"/>
        <item x="1"/>
        <item x="2"/>
        <item x="3"/>
        <item t="default"/>
      </items>
    </pivotField>
    <pivotField name="Lunch Items" axis="axisRow" compact="0" outline="0" multipleItemSelectionAllowed="1" showAll="0" sortType="ascending">
      <items>
        <item x="4"/>
        <item x="0"/>
        <item x="2"/>
        <item x="1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inks " compact="0" outline="0" multipleItemSelectionAllowed="1" showAll="0">
      <items>
        <item x="0"/>
        <item x="1"/>
        <item x="2"/>
        <item x="3"/>
        <item t="default"/>
      </items>
    </pivotField>
    <pivotField name="Drink Size" compact="0" outline="0" multipleItemSelectionAllowed="1" showAll="0">
      <items>
        <item x="0"/>
        <item x="1"/>
        <item x="2"/>
        <item t="default"/>
      </items>
    </pivotField>
    <pivotField name="Special Instructions" compact="0" outline="0" multipleItemSelectionAllowed="1" showAll="0">
      <items>
        <item x="0"/>
        <item x="1"/>
        <item t="default"/>
      </items>
    </pivotField>
    <pivotField name="Referral Source" compact="0" outline="0" multipleItemSelectionAllowed="1" showAll="0">
      <items>
        <item x="0"/>
        <item x="1"/>
        <item x="2"/>
        <item t="default"/>
      </items>
    </pivotField>
    <pivotField name="Comments" compact="0" outline="0" multipleItemSelectionAllowed="1" showAll="0">
      <items>
        <item x="0"/>
        <item x="1"/>
        <item x="2"/>
        <item t="default"/>
      </items>
    </pivotField>
    <pivotField name="Order Delivered to customer" compact="0" outline="0" multipleItemSelectionAllowed="1" showAll="0">
      <items>
        <item x="0"/>
        <item t="default"/>
      </items>
    </pivotField>
  </pivotFields>
  <rowFields>
    <field x="7"/>
  </rowFields>
  <colFields>
    <field x="-2"/>
  </colFields>
  <dataFields>
    <dataField name="Order Quantity" fld="8" subtotal="countNums" baseField="0"/>
    <dataField name="Order Sold" fld="8" baseField="0"/>
  </dataFields>
</pivotTableDefinition>
</file>

<file path=xl/pivotTables/pivotTable4.xml><?xml version="1.0" encoding="utf-8"?>
<pivotTableDefinition xmlns="http://schemas.openxmlformats.org/spreadsheetml/2006/main" name="KPI Analysis1 5" cacheId="0" dataCaption="" compact="0" compactData="0">
  <location ref="A21:C25" firstHeaderRow="0" firstDataRow="2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t="default"/>
      </items>
    </pivotField>
    <pivotField name="Delivery Addres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eferred Delivery Time" compact="0" outline="0" multipleItemSelectionAllowed="1" showAll="0">
      <items>
        <item x="0"/>
        <item x="1"/>
        <item x="2"/>
        <item x="3"/>
        <item t="default"/>
      </items>
    </pivotField>
    <pivotField name="Lunch Item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inks " compact="0" outline="0" multipleItemSelectionAllowed="1" showAll="0">
      <items>
        <item x="0"/>
        <item x="1"/>
        <item x="2"/>
        <item x="3"/>
        <item t="default"/>
      </items>
    </pivotField>
    <pivotField name="Drink Size" compact="0" outline="0" multipleItemSelectionAllowed="1" showAll="0">
      <items>
        <item x="0"/>
        <item x="1"/>
        <item x="2"/>
        <item t="default"/>
      </items>
    </pivotField>
    <pivotField name="Special Instructions" compact="0" outline="0" multipleItemSelectionAllowed="1" showAll="0">
      <items>
        <item x="0"/>
        <item x="1"/>
        <item t="default"/>
      </items>
    </pivotField>
    <pivotField name="Referral Source" axis="axisRow" compact="0" outline="0" multipleItemSelectionAllowed="1" showAll="0" sortType="ascending">
      <items>
        <item x="2"/>
        <item x="1"/>
        <item x="0"/>
        <item t="default"/>
      </items>
    </pivotField>
    <pivotField name="Comments" compact="0" outline="0" multipleItemSelectionAllowed="1" showAll="0">
      <items>
        <item x="0"/>
        <item x="1"/>
        <item x="2"/>
        <item t="default"/>
      </items>
    </pivotField>
    <pivotField name="Order Delivered to customer" compact="0" outline="0" multipleItemSelectionAllowed="1" showAll="0">
      <items>
        <item x="0"/>
        <item t="default"/>
      </items>
    </pivotField>
  </pivotFields>
  <rowFields>
    <field x="12"/>
  </rowFields>
  <colFields>
    <field x="-2"/>
  </colFields>
  <dataFields>
    <dataField name="Orders" fld="8" subtotal="countNums" baseField="0"/>
    <dataField name="% of Quantity" fld="8" subtotal="countNums" showDataAs="percentOfTotal" baseField="0" numFmtId="10"/>
  </dataFields>
</pivotTableDefinition>
</file>

<file path=xl/pivotTables/pivotTable5.xml><?xml version="1.0" encoding="utf-8"?>
<pivotTableDefinition xmlns="http://schemas.openxmlformats.org/spreadsheetml/2006/main" name="Calc_Data" cacheId="1" dataCaption="" compact="0" compactData="0">
  <location ref="A1:B8" firstHeaderRow="0" firstDataRow="1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livery Addres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eferred Delivery 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unch Items" axis="axisRow" compact="0" outline="0" multipleItemSelectionAllowed="1" showAll="0" sortType="ascending">
      <items>
        <item x="5"/>
        <item x="4"/>
        <item x="0"/>
        <item x="2"/>
        <item x="1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rinks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ink Size" compact="0" outline="0" multipleItemSelectionAllowed="1" showAll="0">
      <items>
        <item x="0"/>
        <item x="1"/>
        <item x="2"/>
        <item x="3"/>
        <item t="default"/>
      </items>
    </pivotField>
    <pivotField name="Special Instructions" compact="0" outline="0" multipleItemSelectionAllowed="1" showAll="0">
      <items>
        <item x="0"/>
        <item x="1"/>
        <item x="2"/>
        <item t="default"/>
      </items>
    </pivotField>
    <pivotField name="Referral Source" compact="0" outline="0" multipleItemSelectionAllowed="1" showAll="0">
      <items>
        <item x="0"/>
        <item x="1"/>
        <item x="2"/>
        <item x="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t="default"/>
      </items>
    </pivotField>
    <pivotField name="Order Delivered to customer" compact="0" outline="0" multipleItemSelectionAllowed="1" showAll="0">
      <items>
        <item x="0"/>
        <item x="1"/>
        <item t="default"/>
      </items>
    </pivotField>
  </pivotFields>
  <rowFields>
    <field x="7"/>
  </rowFields>
  <dataFields>
    <dataField name="Total Quantity" fld="8" baseField="0"/>
  </dataFields>
  <pivotTableStyleInfo name="Google Sheets Pivot Table Style" showRowHeaders="1" showColHeaders="1" showLastColumn="1"/>
</pivotTableDefinition>
</file>

<file path=xl/pivotTables/pivotTable6.xml><?xml version="1.0" encoding="utf-8"?>
<pivotTableDefinition xmlns="http://schemas.openxmlformats.org/spreadsheetml/2006/main" name="Calc_Data 2" cacheId="1" dataCaption="" compact="0" compactData="0">
  <location ref="E1:F5" firstHeaderRow="0" firstDataRow="1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Type" axis="axisRow" dataField="1" compact="0" outline="0" multipleItemSelectionAllowed="1" showAll="0" sortType="ascending">
      <items>
        <item x="2"/>
        <item x="0"/>
        <item x="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livery Addres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eferred Delivery 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unch Item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rinks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ink Size" compact="0" outline="0" multipleItemSelectionAllowed="1" showAll="0">
      <items>
        <item x="0"/>
        <item x="1"/>
        <item x="2"/>
        <item x="3"/>
        <item t="default"/>
      </items>
    </pivotField>
    <pivotField name="Special Instructions" compact="0" outline="0" multipleItemSelectionAllowed="1" showAll="0">
      <items>
        <item x="0"/>
        <item x="1"/>
        <item x="2"/>
        <item t="default"/>
      </items>
    </pivotField>
    <pivotField name="Referral Source" compact="0" outline="0" multipleItemSelectionAllowed="1" showAll="0">
      <items>
        <item x="0"/>
        <item x="1"/>
        <item x="2"/>
        <item x="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t="default"/>
      </items>
    </pivotField>
    <pivotField name="Order Delivered to customer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Total Orders" fld="1" subtotal="count" baseField="0"/>
  </dataFields>
  <pivotTableStyleInfo name="Google Sheets Pivot Table Style" showRowHeaders="1" showColHeaders="1" showLastColumn="1"/>
</pivotTableDefinition>
</file>

<file path=xl/pivotTables/pivotTable7.xml><?xml version="1.0" encoding="utf-8"?>
<pivotTableDefinition xmlns="http://schemas.openxmlformats.org/spreadsheetml/2006/main" name="Calc_Data 3" cacheId="1" dataCaption="" compact="0" compactData="0">
  <location ref="I1:J6" firstHeaderRow="0" firstDataRow="1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 Type" compact="0" outline="0" multipleItemSelectionAllowed="1" showAll="0">
      <items>
        <item x="0"/>
        <item x="1"/>
        <item x="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hone Numb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livery Addres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eferred Delivery 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unch Item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rinks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ink Size" compact="0" outline="0" multipleItemSelectionAllowed="1" showAll="0">
      <items>
        <item x="0"/>
        <item x="1"/>
        <item x="2"/>
        <item x="3"/>
        <item t="default"/>
      </items>
    </pivotField>
    <pivotField name="Special Instructions" compact="0" outline="0" multipleItemSelectionAllowed="1" showAll="0">
      <items>
        <item x="0"/>
        <item x="1"/>
        <item x="2"/>
        <item t="default"/>
      </items>
    </pivotField>
    <pivotField name="Referral Source" axis="axisRow" dataField="1" compact="0" outline="0" multipleItemSelectionAllowed="1" showAll="0" sortType="ascending">
      <items>
        <item x="3"/>
        <item x="2"/>
        <item x="1"/>
        <item x="0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t="default"/>
      </items>
    </pivotField>
    <pivotField name="Order Delivered to customer" compact="0" outline="0" multipleItemSelectionAllowed="1" showAll="0">
      <items>
        <item x="0"/>
        <item x="1"/>
        <item t="default"/>
      </items>
    </pivotField>
  </pivotFields>
  <rowFields>
    <field x="12"/>
  </rowFields>
  <dataFields>
    <dataField name="Total Orders" fld="12" subtotal="count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5"/>
    <col customWidth="1" min="3" max="3" width="16.25"/>
    <col customWidth="1" min="4" max="4" width="15.38"/>
    <col customWidth="1" min="5" max="5" width="26.38"/>
    <col customWidth="1" min="6" max="6" width="37.88"/>
    <col customWidth="1" min="7" max="7" width="23.88"/>
    <col customWidth="1" min="8" max="8" width="13.38"/>
    <col customWidth="1" min="9" max="10" width="10.25"/>
    <col customWidth="1" min="11" max="11" width="11.5"/>
    <col customWidth="1" min="12" max="12" width="19.38"/>
    <col customWidth="1" min="13" max="14" width="17.13"/>
    <col customWidth="1" min="15" max="15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</row>
    <row r="2">
      <c r="A2" s="1" t="s">
        <v>15</v>
      </c>
      <c r="B2" s="1" t="s">
        <v>16</v>
      </c>
      <c r="C2" s="1" t="s">
        <v>17</v>
      </c>
      <c r="D2" s="1">
        <v>2.815737781E9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2.0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2" t="s">
        <v>27</v>
      </c>
      <c r="P2" s="3"/>
      <c r="Q2" s="3"/>
      <c r="R2" s="3"/>
    </row>
    <row r="3">
      <c r="A3" s="1" t="s">
        <v>28</v>
      </c>
      <c r="B3" s="1" t="s">
        <v>29</v>
      </c>
      <c r="C3" s="1" t="s">
        <v>30</v>
      </c>
      <c r="D3" s="1">
        <v>2.815737781E9</v>
      </c>
      <c r="E3" s="1" t="s">
        <v>31</v>
      </c>
      <c r="F3" s="1" t="s">
        <v>32</v>
      </c>
      <c r="G3" s="1" t="s">
        <v>33</v>
      </c>
      <c r="H3" s="1" t="s">
        <v>21</v>
      </c>
      <c r="I3" s="1">
        <v>5.0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2" t="s">
        <v>27</v>
      </c>
      <c r="P3" s="3"/>
      <c r="Q3" s="3"/>
      <c r="R3" s="3"/>
    </row>
    <row r="4">
      <c r="A4" s="1" t="s">
        <v>39</v>
      </c>
      <c r="B4" s="1" t="s">
        <v>16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>
        <v>1.0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24</v>
      </c>
      <c r="O4" s="2" t="s">
        <v>27</v>
      </c>
      <c r="P4" s="3"/>
      <c r="Q4" s="3"/>
      <c r="R4" s="3"/>
    </row>
    <row r="5">
      <c r="A5" s="1" t="s">
        <v>46</v>
      </c>
      <c r="B5" s="1" t="s">
        <v>29</v>
      </c>
      <c r="C5" s="1" t="s">
        <v>47</v>
      </c>
      <c r="D5" s="1">
        <v>2.3276880981E10</v>
      </c>
      <c r="E5" s="1" t="s">
        <v>31</v>
      </c>
      <c r="F5" s="1" t="s">
        <v>48</v>
      </c>
      <c r="G5" s="1" t="s">
        <v>49</v>
      </c>
      <c r="H5" s="1" t="s">
        <v>50</v>
      </c>
      <c r="I5" s="1">
        <v>30.0</v>
      </c>
      <c r="J5" s="1" t="s">
        <v>51</v>
      </c>
      <c r="K5" s="1" t="s">
        <v>35</v>
      </c>
      <c r="L5" s="1" t="s">
        <v>36</v>
      </c>
      <c r="M5" s="1" t="s">
        <v>37</v>
      </c>
      <c r="N5" s="1" t="s">
        <v>24</v>
      </c>
      <c r="O5" s="2" t="s">
        <v>27</v>
      </c>
      <c r="P5" s="3"/>
      <c r="Q5" s="3"/>
      <c r="R5" s="3"/>
    </row>
    <row r="6">
      <c r="A6" s="1" t="s">
        <v>52</v>
      </c>
      <c r="B6" s="1" t="s">
        <v>16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20</v>
      </c>
      <c r="H6" s="1" t="s">
        <v>57</v>
      </c>
      <c r="I6" s="1">
        <v>10.0</v>
      </c>
      <c r="J6" s="1" t="s">
        <v>58</v>
      </c>
      <c r="K6" s="1" t="s">
        <v>59</v>
      </c>
      <c r="L6" s="1" t="s">
        <v>24</v>
      </c>
      <c r="M6" s="1" t="s">
        <v>60</v>
      </c>
      <c r="N6" s="1" t="s">
        <v>61</v>
      </c>
      <c r="O6" s="2" t="s">
        <v>27</v>
      </c>
      <c r="P6" s="3"/>
      <c r="Q6" s="3"/>
      <c r="R6" s="3"/>
    </row>
    <row r="7">
      <c r="A7" s="1" t="s">
        <v>62</v>
      </c>
      <c r="B7" s="1" t="s">
        <v>29</v>
      </c>
      <c r="C7" s="1" t="s">
        <v>63</v>
      </c>
      <c r="D7" s="1">
        <v>2.815743389E9</v>
      </c>
      <c r="E7" s="1" t="s">
        <v>55</v>
      </c>
      <c r="F7" s="1" t="s">
        <v>64</v>
      </c>
      <c r="G7" s="1" t="s">
        <v>44</v>
      </c>
      <c r="H7" s="1" t="s">
        <v>65</v>
      </c>
      <c r="I7" s="1">
        <v>5.0</v>
      </c>
      <c r="J7" s="1" t="s">
        <v>34</v>
      </c>
      <c r="K7" s="1" t="s">
        <v>59</v>
      </c>
      <c r="L7" s="1" t="s">
        <v>26</v>
      </c>
      <c r="M7" s="1" t="s">
        <v>37</v>
      </c>
      <c r="N7" s="1" t="s">
        <v>26</v>
      </c>
      <c r="O7" s="2" t="s">
        <v>27</v>
      </c>
      <c r="P7" s="3"/>
      <c r="Q7" s="3"/>
      <c r="R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</sheetData>
  <autoFilter ref="$A$1:$R$1"/>
  <dataValidations>
    <dataValidation type="list" allowBlank="1" showErrorMessage="1" sqref="O2:O7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9.0"/>
    <col customWidth="1" min="3" max="3" width="20.0"/>
    <col customWidth="1" min="5" max="5" width="25.13"/>
    <col customWidth="1" min="7" max="7" width="21.25"/>
    <col customWidth="1" min="9" max="9" width="15.0"/>
  </cols>
  <sheetData>
    <row r="1">
      <c r="A1" s="4" t="s">
        <v>66</v>
      </c>
    </row>
    <row r="3">
      <c r="A3" s="5" t="s">
        <v>67</v>
      </c>
      <c r="C3" s="6" t="s">
        <v>68</v>
      </c>
      <c r="E3" s="7" t="s">
        <v>69</v>
      </c>
      <c r="I3" s="7" t="s">
        <v>71</v>
      </c>
    </row>
    <row r="4">
      <c r="A4" s="9">
        <v>6.0</v>
      </c>
      <c r="B4" s="9"/>
      <c r="C4" s="9">
        <f>COUNTIF('Raw Data'!B2:B7,"I am a new customer")</f>
        <v>3</v>
      </c>
      <c r="D4" s="9"/>
      <c r="E4" s="9">
        <f>COUNTIF('Raw Data'!B2:B7,"I am an existing customer")</f>
        <v>3</v>
      </c>
      <c r="F4" s="9"/>
      <c r="H4" s="9"/>
      <c r="I4" s="10">
        <f>COUNTIF('Raw Data'!O2:O7,"YES")/COUNTA('Raw Data'!A2:A7)</f>
        <v>1</v>
      </c>
    </row>
    <row r="7">
      <c r="A7" s="11" t="s">
        <v>72</v>
      </c>
      <c r="C7" s="12"/>
    </row>
    <row r="8">
      <c r="A8" s="13">
        <f>AVERAGE('Raw Data'!I2:I7)</f>
        <v>8.833333333</v>
      </c>
    </row>
    <row r="10">
      <c r="A10" s="14" t="s">
        <v>73</v>
      </c>
      <c r="E10" s="14" t="s">
        <v>74</v>
      </c>
    </row>
    <row r="11">
      <c r="J11" s="16"/>
    </row>
    <row r="12"/>
    <row r="13"/>
    <row r="14"/>
    <row r="15"/>
    <row r="16"/>
    <row r="17">
      <c r="C17" s="18"/>
    </row>
    <row r="20">
      <c r="A20" s="14" t="s">
        <v>80</v>
      </c>
    </row>
    <row r="21"/>
    <row r="22"/>
    <row r="23"/>
    <row r="24"/>
    <row r="25"/>
    <row r="27">
      <c r="A27" s="19" t="s">
        <v>83</v>
      </c>
    </row>
    <row r="28">
      <c r="A28" s="20" t="s">
        <v>84</v>
      </c>
      <c r="E28" s="21" t="s">
        <v>85</v>
      </c>
    </row>
    <row r="29">
      <c r="A29" s="20" t="s">
        <v>86</v>
      </c>
      <c r="E29" s="21" t="s">
        <v>87</v>
      </c>
    </row>
    <row r="30">
      <c r="A30" s="20" t="s">
        <v>88</v>
      </c>
      <c r="E30" s="21" t="s">
        <v>89</v>
      </c>
    </row>
    <row r="31">
      <c r="A31" s="20" t="s">
        <v>90</v>
      </c>
      <c r="E31" s="21" t="s">
        <v>91</v>
      </c>
    </row>
  </sheetData>
  <mergeCells count="14">
    <mergeCell ref="A28:D28"/>
    <mergeCell ref="A29:D29"/>
    <mergeCell ref="E29:G29"/>
    <mergeCell ref="A30:D30"/>
    <mergeCell ref="E30:G30"/>
    <mergeCell ref="A31:D31"/>
    <mergeCell ref="E31:G31"/>
    <mergeCell ref="A1:I1"/>
    <mergeCell ref="A7:B7"/>
    <mergeCell ref="A10:C10"/>
    <mergeCell ref="E10:G10"/>
    <mergeCell ref="A20:C20"/>
    <mergeCell ref="A27:G27"/>
    <mergeCell ref="E28:G28"/>
  </mergeCell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M1" s="22" t="s">
        <v>67</v>
      </c>
      <c r="N1" s="17">
        <f>COUNTA('Raw Data'!A2:A1000)</f>
        <v>6</v>
      </c>
    </row>
    <row r="2">
      <c r="M2" s="22" t="s">
        <v>93</v>
      </c>
      <c r="N2" s="17">
        <f>SUM('Raw Data'!I2:I1000)</f>
        <v>53</v>
      </c>
    </row>
    <row r="3"/>
    <row r="4"/>
    <row r="5"/>
    <row r="6"/>
    <row r="7"/>
    <row r="8"/>
  </sheetData>
  <drawing r:id="rId4"/>
</worksheet>
</file>